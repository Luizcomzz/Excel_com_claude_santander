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6e21af0d2b248/Área de Trabalho/luiz/Cursos/Excel_claude_dio/"/>
    </mc:Choice>
  </mc:AlternateContent>
  <xr:revisionPtr revIDLastSave="5" documentId="8_{DDFC580E-5467-4EFF-ADCA-2CDFE135C79C}" xr6:coauthVersionLast="47" xr6:coauthVersionMax="47" xr10:uidLastSave="{C31D104D-A286-4E77-B91B-205E0DB9D1B3}"/>
  <bookViews>
    <workbookView xWindow="-108" yWindow="-108" windowWidth="23256" windowHeight="12456" xr2:uid="{513C72A2-38B9-4971-9DA9-464A596825B5}"/>
  </bookViews>
  <sheets>
    <sheet name="Planilha1" sheetId="1" r:id="rId1"/>
    <sheet name="Planilha2" sheetId="2" r:id="rId2"/>
  </sheets>
  <definedNames>
    <definedName name="aporte">Planilha1!$D$22</definedName>
    <definedName name="patrimonio">Planilha1!$D$25</definedName>
    <definedName name="qtd_anos">Planilha1!$D$23</definedName>
    <definedName name="rendimento_carteira">Planilha1!$D$18</definedName>
    <definedName name="salario">Planilha1!$D$17</definedName>
    <definedName name="sugestao">Planilha1!$D$19</definedName>
    <definedName name="taxa_mensal">Planilha1!$D$24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0" i="1" l="1"/>
  <c r="C41" i="1"/>
  <c r="C42" i="1"/>
  <c r="C43" i="1"/>
  <c r="C44" i="1"/>
  <c r="C39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36" i="1"/>
  <c r="D25" i="1"/>
  <c r="D26" i="1" s="1"/>
  <c r="D19" i="1"/>
  <c r="C30" i="1"/>
  <c r="D30" i="1" s="1"/>
  <c r="C31" i="1"/>
  <c r="D31" i="1" s="1"/>
  <c r="C32" i="1"/>
  <c r="D32" i="1" s="1"/>
  <c r="C33" i="1"/>
  <c r="D33" i="1" s="1"/>
  <c r="C29" i="1"/>
  <c r="D29" i="1" s="1"/>
  <c r="D41" i="1" l="1"/>
  <c r="D44" i="1"/>
  <c r="D43" i="1"/>
  <c r="D42" i="1"/>
  <c r="D40" i="1"/>
  <c r="G6" i="2"/>
  <c r="D39" i="1"/>
  <c r="D45" i="1" s="1"/>
</calcChain>
</file>

<file path=xl/sharedStrings.xml><?xml version="1.0" encoding="utf-8"?>
<sst xmlns="http://schemas.openxmlformats.org/spreadsheetml/2006/main" count="71" uniqueCount="37">
  <si>
    <t>INVESTIMENTO MENSAL</t>
  </si>
  <si>
    <t>Por quantos anos ?</t>
  </si>
  <si>
    <t xml:space="preserve">Taxa de rendimento mensal </t>
  </si>
  <si>
    <t>Aporte</t>
  </si>
  <si>
    <t>Patrimônio acumulado</t>
  </si>
  <si>
    <t>Dividendo mensais</t>
  </si>
  <si>
    <t>Cenários</t>
  </si>
  <si>
    <t>Quanto em 2 anos ?</t>
  </si>
  <si>
    <t>Quanto em 5 anos ?</t>
  </si>
  <si>
    <t>Quanto em 30 anos  ?</t>
  </si>
  <si>
    <t>Quanto em 10 anos ?</t>
  </si>
  <si>
    <t>Quantos em 20 anos ?</t>
  </si>
  <si>
    <t>Dividendo</t>
  </si>
  <si>
    <t>Salário</t>
  </si>
  <si>
    <t>Rendimento de salário</t>
  </si>
  <si>
    <t>Sugestao de investimento</t>
  </si>
  <si>
    <t>CONFIGURAÇÕES</t>
  </si>
  <si>
    <t>Perfil</t>
  </si>
  <si>
    <t>CONSERVADOR</t>
  </si>
  <si>
    <t>MODERADO</t>
  </si>
  <si>
    <t>AGRESSIVO</t>
  </si>
  <si>
    <t>TIPO DE FII</t>
  </si>
  <si>
    <t>PERCENTUAL SUGERIDO</t>
  </si>
  <si>
    <t>VALORES</t>
  </si>
  <si>
    <t>TIJOLO</t>
  </si>
  <si>
    <t xml:space="preserve">PAPEL </t>
  </si>
  <si>
    <t>HIBRIDOS</t>
  </si>
  <si>
    <t>FOF's</t>
  </si>
  <si>
    <t>DESENVOLVIMENTO</t>
  </si>
  <si>
    <t>HOTELARIAS</t>
  </si>
  <si>
    <t xml:space="preserve">Perfil </t>
  </si>
  <si>
    <t>Tipo</t>
  </si>
  <si>
    <t>%</t>
  </si>
  <si>
    <t>CHAVE</t>
  </si>
  <si>
    <t>AGRESSIVO-TIJOLO</t>
  </si>
  <si>
    <t>VALOR A SER INVESTIDO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</si>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</sst>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theme="1"/>
      <name val="Segoe UI"/>
      <family val="2"/>
    </font>
    <font>
      <sz val="13"/>
      <color theme="1"/>
      <name val="Segoe UI"/>
      <family val="2"/>
    </font>
    <font>
      <b/>
      <sz val="13"/>
      <color theme="0"/>
      <name val="Segoe UI Semibold"/>
      <family val="2"/>
    </font>
    <font>
      <sz val="13"/>
      <color theme="0"/>
      <name val="Segoe UI Semibold"/>
      <family val="2"/>
    </font>
  </fonts>
  <fills count="8">
    <fill>
      <patternFill patternType="none"/>
    </fill>
    <fill>
      <patternFill patternType="gray125"/>
    </fill>
    <fill>
      <patternFill patternType="solid">
        <fgColor rgb="FF2D87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/>
      <bottom style="thin">
        <color theme="2" tint="-0.24994659260841701"/>
      </bottom>
      <diagonal/>
    </border>
    <border>
      <left/>
      <right/>
      <top style="medium">
        <color indexed="64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2" fillId="3" borderId="0" xfId="0" applyFont="1" applyFill="1"/>
    <xf numFmtId="164" fontId="6" fillId="4" borderId="14" xfId="0" applyNumberFormat="1" applyFont="1" applyFill="1" applyBorder="1" applyAlignment="1">
      <alignment horizontal="center" vertical="center"/>
    </xf>
    <xf numFmtId="164" fontId="6" fillId="4" borderId="15" xfId="0" applyNumberFormat="1" applyFont="1" applyFill="1" applyBorder="1" applyAlignment="1">
      <alignment horizontal="center" vertical="center"/>
    </xf>
    <xf numFmtId="164" fontId="6" fillId="4" borderId="16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/>
    </xf>
    <xf numFmtId="164" fontId="5" fillId="0" borderId="1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8" fontId="5" fillId="4" borderId="4" xfId="0" applyNumberFormat="1" applyFont="1" applyFill="1" applyBorder="1" applyAlignment="1">
      <alignment horizontal="center" vertical="center"/>
    </xf>
    <xf numFmtId="8" fontId="5" fillId="4" borderId="6" xfId="0" applyNumberFormat="1" applyFont="1" applyFill="1" applyBorder="1" applyAlignment="1">
      <alignment horizontal="center" vertical="center"/>
    </xf>
    <xf numFmtId="0" fontId="0" fillId="0" borderId="17" xfId="0" applyBorder="1"/>
    <xf numFmtId="9" fontId="0" fillId="0" borderId="0" xfId="0" applyNumberFormat="1" applyAlignment="1">
      <alignment horizontal="center"/>
    </xf>
    <xf numFmtId="9" fontId="0" fillId="0" borderId="17" xfId="0" applyNumberFormat="1" applyBorder="1" applyAlignment="1">
      <alignment horizontal="center"/>
    </xf>
    <xf numFmtId="164" fontId="6" fillId="4" borderId="12" xfId="1" applyNumberFormat="1" applyFont="1" applyFill="1" applyBorder="1" applyAlignment="1">
      <alignment horizontal="center"/>
    </xf>
    <xf numFmtId="164" fontId="6" fillId="4" borderId="4" xfId="1" applyNumberFormat="1" applyFont="1" applyFill="1" applyBorder="1" applyAlignment="1">
      <alignment horizontal="center"/>
    </xf>
    <xf numFmtId="164" fontId="6" fillId="4" borderId="6" xfId="1" applyNumberFormat="1" applyFont="1" applyFill="1" applyBorder="1" applyAlignment="1">
      <alignment horizontal="center"/>
    </xf>
    <xf numFmtId="164" fontId="6" fillId="3" borderId="12" xfId="1" applyNumberFormat="1" applyFont="1" applyFill="1" applyBorder="1" applyAlignment="1">
      <alignment horizontal="center" vertical="center"/>
    </xf>
    <xf numFmtId="164" fontId="6" fillId="3" borderId="4" xfId="1" applyNumberFormat="1" applyFont="1" applyFill="1" applyBorder="1" applyAlignment="1">
      <alignment horizontal="center" vertical="center"/>
    </xf>
    <xf numFmtId="164" fontId="6" fillId="3" borderId="6" xfId="1" applyNumberFormat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left" indent="3"/>
    </xf>
    <xf numFmtId="0" fontId="6" fillId="4" borderId="3" xfId="0" applyFont="1" applyFill="1" applyBorder="1" applyAlignment="1">
      <alignment horizontal="left" indent="3"/>
    </xf>
    <xf numFmtId="0" fontId="6" fillId="4" borderId="5" xfId="0" applyFont="1" applyFill="1" applyBorder="1" applyAlignment="1">
      <alignment horizontal="left" indent="3"/>
    </xf>
    <xf numFmtId="0" fontId="6" fillId="6" borderId="0" xfId="0" applyFont="1" applyFill="1" applyAlignment="1">
      <alignment horizontal="left" indent="3"/>
    </xf>
    <xf numFmtId="0" fontId="3" fillId="6" borderId="0" xfId="0" applyFont="1" applyFill="1" applyAlignment="1">
      <alignment horizontal="center"/>
    </xf>
    <xf numFmtId="0" fontId="5" fillId="4" borderId="0" xfId="0" applyFont="1" applyFill="1" applyAlignment="1">
      <alignment horizontal="left" indent="3"/>
    </xf>
    <xf numFmtId="0" fontId="3" fillId="4" borderId="0" xfId="0" applyFont="1" applyFill="1"/>
    <xf numFmtId="0" fontId="4" fillId="7" borderId="1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7" borderId="8" xfId="0" applyFont="1" applyFill="1" applyBorder="1" applyAlignment="1">
      <alignment horizontal="right"/>
    </xf>
    <xf numFmtId="164" fontId="3" fillId="0" borderId="4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4" fillId="7" borderId="7" xfId="0" applyNumberFormat="1" applyFont="1" applyFill="1" applyBorder="1" applyAlignment="1">
      <alignment horizontal="center"/>
    </xf>
    <xf numFmtId="164" fontId="5" fillId="4" borderId="19" xfId="0" applyNumberFormat="1" applyFont="1" applyFill="1" applyBorder="1" applyAlignment="1">
      <alignment horizontal="center"/>
    </xf>
    <xf numFmtId="0" fontId="6" fillId="4" borderId="11" xfId="0" applyFont="1" applyFill="1" applyBorder="1" applyAlignment="1">
      <alignment horizontal="left" indent="3"/>
    </xf>
    <xf numFmtId="0" fontId="6" fillId="4" borderId="14" xfId="0" applyFont="1" applyFill="1" applyBorder="1" applyAlignment="1">
      <alignment horizontal="left" indent="3"/>
    </xf>
    <xf numFmtId="0" fontId="6" fillId="4" borderId="3" xfId="0" applyFont="1" applyFill="1" applyBorder="1" applyAlignment="1">
      <alignment horizontal="left" indent="3"/>
    </xf>
    <xf numFmtId="0" fontId="6" fillId="4" borderId="15" xfId="0" applyFont="1" applyFill="1" applyBorder="1" applyAlignment="1">
      <alignment horizontal="left" indent="3"/>
    </xf>
    <xf numFmtId="0" fontId="6" fillId="4" borderId="5" xfId="0" applyFont="1" applyFill="1" applyBorder="1" applyAlignment="1">
      <alignment horizontal="left" indent="3"/>
    </xf>
    <xf numFmtId="0" fontId="6" fillId="4" borderId="16" xfId="0" applyFont="1" applyFill="1" applyBorder="1" applyAlignment="1">
      <alignment horizontal="left" indent="3"/>
    </xf>
    <xf numFmtId="0" fontId="8" fillId="5" borderId="10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indent="3"/>
    </xf>
    <xf numFmtId="0" fontId="5" fillId="4" borderId="15" xfId="0" applyFont="1" applyFill="1" applyBorder="1" applyAlignment="1">
      <alignment horizontal="left" indent="3"/>
    </xf>
    <xf numFmtId="0" fontId="5" fillId="4" borderId="5" xfId="0" applyFont="1" applyFill="1" applyBorder="1" applyAlignment="1">
      <alignment horizontal="left" indent="3"/>
    </xf>
    <xf numFmtId="0" fontId="5" fillId="4" borderId="16" xfId="0" applyFont="1" applyFill="1" applyBorder="1" applyAlignment="1">
      <alignment horizontal="left" indent="3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CC66"/>
      <color rgb="FF2D8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121920</xdr:colOff>
      <xdr:row>1</xdr:row>
      <xdr:rowOff>45721</xdr:rowOff>
    </xdr:from>
    <xdr:to>
      <xdr:col>4</xdr:col>
      <xdr:colOff>563880</xdr:colOff>
      <xdr:row>13</xdr:row>
      <xdr:rowOff>129540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2E7B1DA-BAB9-9095-E843-ECCC4A1D35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855" b="10973"/>
        <a:stretch>
          <a:fillRect/>
        </a:stretch>
      </xdr:blipFill>
      <xdr:spPr>
        <a:xfrm>
          <a:off x="121920" y="228601"/>
          <a:ext cx="8732520" cy="22783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0112-9910-47F1-9CC0-24397A45B24E}">
  <dimension ref="A15:F45"/>
  <sheetViews>
    <sheetView showGridLines="0" tabSelected="1" topLeftCell="A22" workbookViewId="0">
      <selection activeCell="D23" sqref="D23"/>
    </sheetView>
  </sheetViews>
  <sheetFormatPr defaultColWidth="0" defaultRowHeight="14.4" x14ac:dyDescent="0.3"/>
  <cols>
    <col min="1" max="1" width="7.88671875" customWidth="1"/>
    <col min="2" max="2" width="33.109375" customWidth="1"/>
    <col min="3" max="3" width="36.44140625" customWidth="1"/>
    <col min="4" max="4" width="43.44140625" customWidth="1"/>
    <col min="5" max="5" width="12.109375" customWidth="1"/>
    <col min="6" max="6" width="11.88671875" hidden="1" customWidth="1"/>
    <col min="7" max="9" width="8.88671875" hidden="1" customWidth="1"/>
    <col min="10" max="16384" width="8.88671875" hidden="1"/>
  </cols>
  <sheetData>
    <row r="15" spans="2:4" ht="15" thickBot="1" x14ac:dyDescent="0.35"/>
    <row r="16" spans="2:4" s="1" customFormat="1" ht="25.8" customHeight="1" x14ac:dyDescent="0.3">
      <c r="B16" s="47" t="s">
        <v>16</v>
      </c>
      <c r="C16" s="48"/>
      <c r="D16" s="49"/>
    </row>
    <row r="17" spans="1:4" ht="19.8" x14ac:dyDescent="0.45">
      <c r="B17" s="41" t="s">
        <v>13</v>
      </c>
      <c r="C17" s="42"/>
      <c r="D17" s="19">
        <v>5000</v>
      </c>
    </row>
    <row r="18" spans="1:4" ht="14.4" customHeight="1" x14ac:dyDescent="0.45">
      <c r="B18" s="43" t="s">
        <v>14</v>
      </c>
      <c r="C18" s="44"/>
      <c r="D18" s="20">
        <v>0.6</v>
      </c>
    </row>
    <row r="19" spans="1:4" ht="20.399999999999999" thickBot="1" x14ac:dyDescent="0.5">
      <c r="B19" s="45" t="s">
        <v>15</v>
      </c>
      <c r="C19" s="46"/>
      <c r="D19" s="21">
        <f>$D$17*(0.3)</f>
        <v>1500</v>
      </c>
    </row>
    <row r="20" spans="1:4" ht="17.399999999999999" customHeight="1" thickBot="1" x14ac:dyDescent="0.4">
      <c r="B20" s="2"/>
      <c r="C20" s="2"/>
      <c r="D20" s="2"/>
    </row>
    <row r="21" spans="1:4" ht="17.399999999999999" customHeight="1" x14ac:dyDescent="0.3">
      <c r="A21" s="1"/>
      <c r="B21" s="50" t="s">
        <v>0</v>
      </c>
      <c r="C21" s="51"/>
      <c r="D21" s="52"/>
    </row>
    <row r="22" spans="1:4" ht="19.8" x14ac:dyDescent="0.45">
      <c r="B22" s="43" t="s">
        <v>3</v>
      </c>
      <c r="C22" s="44"/>
      <c r="D22" s="8">
        <v>250</v>
      </c>
    </row>
    <row r="23" spans="1:4" ht="19.8" x14ac:dyDescent="0.45">
      <c r="B23" s="43" t="s">
        <v>1</v>
      </c>
      <c r="C23" s="44"/>
      <c r="D23" s="9">
        <v>5</v>
      </c>
    </row>
    <row r="24" spans="1:4" ht="19.8" x14ac:dyDescent="0.45">
      <c r="B24" s="43" t="s">
        <v>2</v>
      </c>
      <c r="C24" s="44"/>
      <c r="D24" s="10">
        <v>1.0789999999999999E-2</v>
      </c>
    </row>
    <row r="25" spans="1:4" ht="19.8" x14ac:dyDescent="0.45">
      <c r="B25" s="53" t="s">
        <v>4</v>
      </c>
      <c r="C25" s="54"/>
      <c r="D25" s="11">
        <f>FV(taxa_mensal,qtd_anos*12,aporte*(-1))</f>
        <v>20944.22849962191</v>
      </c>
    </row>
    <row r="26" spans="1:4" ht="20.399999999999999" thickBot="1" x14ac:dyDescent="0.5">
      <c r="B26" s="55" t="s">
        <v>5</v>
      </c>
      <c r="C26" s="56"/>
      <c r="D26" s="12">
        <f>patrimonio*rendimento_carteira</f>
        <v>12566.537099773146</v>
      </c>
    </row>
    <row r="27" spans="1:4" ht="18" thickBot="1" x14ac:dyDescent="0.4">
      <c r="B27" s="2"/>
      <c r="C27" s="2"/>
      <c r="D27" s="2"/>
    </row>
    <row r="28" spans="1:4" ht="19.8" x14ac:dyDescent="0.3">
      <c r="B28" s="50" t="s">
        <v>6</v>
      </c>
      <c r="C28" s="51"/>
      <c r="D28" s="7" t="s">
        <v>12</v>
      </c>
    </row>
    <row r="29" spans="1:4" ht="19.8" x14ac:dyDescent="0.45">
      <c r="A29" s="3">
        <v>2</v>
      </c>
      <c r="B29" s="22" t="s">
        <v>7</v>
      </c>
      <c r="C29" s="4">
        <f>FV($D$24, A29*12,$D$22*(-1))</f>
        <v>6806.9068244113041</v>
      </c>
      <c r="D29" s="16">
        <f>C29*rendimento_carteira</f>
        <v>4084.1440946467824</v>
      </c>
    </row>
    <row r="30" spans="1:4" ht="19.8" x14ac:dyDescent="0.45">
      <c r="A30" s="3">
        <v>5</v>
      </c>
      <c r="B30" s="23" t="s">
        <v>8</v>
      </c>
      <c r="C30" s="5">
        <f>FV($D$24, A30*12,$D$22*(-1))</f>
        <v>20944.22849962191</v>
      </c>
      <c r="D30" s="17">
        <f>C30*rendimento_carteira</f>
        <v>12566.537099773146</v>
      </c>
    </row>
    <row r="31" spans="1:4" ht="19.8" x14ac:dyDescent="0.45">
      <c r="A31" s="3">
        <v>10</v>
      </c>
      <c r="B31" s="23" t="s">
        <v>10</v>
      </c>
      <c r="C31" s="5">
        <f>FV($D$24, A31*12,$D$22*(-1))</f>
        <v>60821.053132543049</v>
      </c>
      <c r="D31" s="17">
        <f>C31*rendimento_carteira</f>
        <v>36492.631879525827</v>
      </c>
    </row>
    <row r="32" spans="1:4" ht="19.8" x14ac:dyDescent="0.45">
      <c r="A32" s="3">
        <v>20</v>
      </c>
      <c r="B32" s="23" t="s">
        <v>11</v>
      </c>
      <c r="C32" s="5">
        <f>FV($D$24, A32*12,$D$22*(-1))</f>
        <v>281299.60002427013</v>
      </c>
      <c r="D32" s="17">
        <f>C32*rendimento_carteira</f>
        <v>168779.76001456208</v>
      </c>
    </row>
    <row r="33" spans="1:4" ht="20.399999999999999" thickBot="1" x14ac:dyDescent="0.5">
      <c r="A33" s="3">
        <v>30</v>
      </c>
      <c r="B33" s="24" t="s">
        <v>9</v>
      </c>
      <c r="C33" s="6">
        <f>FV($D$24, A33*12,$D$22*(-1))</f>
        <v>1080542.4137511787</v>
      </c>
      <c r="D33" s="18">
        <f>C33*rendimento_carteira</f>
        <v>648325.44825070712</v>
      </c>
    </row>
    <row r="34" spans="1:4" ht="17.399999999999999" x14ac:dyDescent="0.35">
      <c r="B34" s="2"/>
      <c r="C34" s="2"/>
      <c r="D34" s="2"/>
    </row>
    <row r="35" spans="1:4" ht="19.8" x14ac:dyDescent="0.45">
      <c r="B35" s="25" t="s">
        <v>17</v>
      </c>
      <c r="C35" s="26" t="s">
        <v>18</v>
      </c>
      <c r="D35" s="25"/>
    </row>
    <row r="36" spans="1:4" ht="19.8" x14ac:dyDescent="0.45">
      <c r="B36" s="27" t="s">
        <v>35</v>
      </c>
      <c r="C36" s="40">
        <f>aporte</f>
        <v>250</v>
      </c>
      <c r="D36" s="28"/>
    </row>
    <row r="37" spans="1:4" ht="18" thickBot="1" x14ac:dyDescent="0.4">
      <c r="B37" s="2"/>
      <c r="C37" s="2"/>
      <c r="D37" s="2"/>
    </row>
    <row r="38" spans="1:4" ht="17.399999999999999" x14ac:dyDescent="0.35">
      <c r="B38" s="29" t="s">
        <v>21</v>
      </c>
      <c r="C38" s="30" t="s">
        <v>22</v>
      </c>
      <c r="D38" s="31" t="s">
        <v>23</v>
      </c>
    </row>
    <row r="39" spans="1:4" ht="17.399999999999999" x14ac:dyDescent="0.35">
      <c r="B39" s="32" t="s">
        <v>24</v>
      </c>
      <c r="C39" s="33">
        <f>VLOOKUP($C$35&amp;"-"&amp;B39,Planilha2!$A:$D,4,FALSE)</f>
        <v>0.5</v>
      </c>
      <c r="D39" s="37">
        <f>C39*$C$36</f>
        <v>125</v>
      </c>
    </row>
    <row r="40" spans="1:4" ht="17.399999999999999" x14ac:dyDescent="0.35">
      <c r="B40" s="32" t="s">
        <v>25</v>
      </c>
      <c r="C40" s="33">
        <f>VLOOKUP($C$35&amp;"-"&amp;B40,Planilha2!$A:$D,4,FALSE)</f>
        <v>0.1</v>
      </c>
      <c r="D40" s="37">
        <f t="shared" ref="D40:D44" si="0">C40*$C$36</f>
        <v>25</v>
      </c>
    </row>
    <row r="41" spans="1:4" ht="17.399999999999999" x14ac:dyDescent="0.35">
      <c r="B41" s="32" t="s">
        <v>26</v>
      </c>
      <c r="C41" s="33">
        <f>VLOOKUP($C$35&amp;"-"&amp;B41,Planilha2!$A:$D,4,FALSE)</f>
        <v>0.05</v>
      </c>
      <c r="D41" s="37">
        <f t="shared" si="0"/>
        <v>12.5</v>
      </c>
    </row>
    <row r="42" spans="1:4" ht="17.399999999999999" x14ac:dyDescent="0.35">
      <c r="B42" s="32" t="s">
        <v>27</v>
      </c>
      <c r="C42" s="33">
        <f>VLOOKUP($C$35&amp;"-"&amp;B42,Planilha2!$A:$D,4,FALSE)</f>
        <v>0.05</v>
      </c>
      <c r="D42" s="37">
        <f t="shared" si="0"/>
        <v>12.5</v>
      </c>
    </row>
    <row r="43" spans="1:4" ht="17.399999999999999" x14ac:dyDescent="0.35">
      <c r="B43" s="32" t="s">
        <v>28</v>
      </c>
      <c r="C43" s="33">
        <f>VLOOKUP($C$35&amp;"-"&amp;B43,Planilha2!$A:$D,4,FALSE)</f>
        <v>0.2</v>
      </c>
      <c r="D43" s="37">
        <f t="shared" si="0"/>
        <v>50</v>
      </c>
    </row>
    <row r="44" spans="1:4" ht="18" thickBot="1" x14ac:dyDescent="0.4">
      <c r="B44" s="34" t="s">
        <v>29</v>
      </c>
      <c r="C44" s="35">
        <f>VLOOKUP($C$35&amp;"-"&amp;B44,Planilha2!$A:$D,4,FALSE)</f>
        <v>0.1</v>
      </c>
      <c r="D44" s="38">
        <f t="shared" si="0"/>
        <v>25</v>
      </c>
    </row>
    <row r="45" spans="1:4" ht="18" thickBot="1" x14ac:dyDescent="0.4">
      <c r="B45" s="2"/>
      <c r="C45" s="36" t="s">
        <v>36</v>
      </c>
      <c r="D45" s="39">
        <f>SUM(D39:D44)</f>
        <v>250</v>
      </c>
    </row>
  </sheetData>
  <mergeCells count="11">
    <mergeCell ref="B28:C28"/>
    <mergeCell ref="B22:C22"/>
    <mergeCell ref="B23:C23"/>
    <mergeCell ref="B24:C24"/>
    <mergeCell ref="B25:C25"/>
    <mergeCell ref="B26:C26"/>
    <mergeCell ref="B17:C17"/>
    <mergeCell ref="B18:C18"/>
    <mergeCell ref="B19:C19"/>
    <mergeCell ref="B16:D16"/>
    <mergeCell ref="B21:D21"/>
  </mergeCells>
  <dataValidations count="1">
    <dataValidation type="list" allowBlank="1" showInputMessage="1" showErrorMessage="1" sqref="C35" xr:uid="{5D7130CD-FB0B-4111-85FF-56E04FBE8636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D77B-22A1-4C33-A4EC-FFA1D5853547}">
  <dimension ref="A2:G20"/>
  <sheetViews>
    <sheetView workbookViewId="0">
      <selection activeCell="F13" sqref="F13"/>
    </sheetView>
  </sheetViews>
  <sheetFormatPr defaultRowHeight="14.4" x14ac:dyDescent="0.3"/>
  <cols>
    <col min="1" max="1" width="16.77734375" bestFit="1" customWidth="1"/>
    <col min="2" max="2" width="14" bestFit="1" customWidth="1"/>
    <col min="3" max="3" width="17.6640625" bestFit="1" customWidth="1"/>
    <col min="6" max="6" width="16.77734375" bestFit="1" customWidth="1"/>
  </cols>
  <sheetData>
    <row r="2" spans="1:7" x14ac:dyDescent="0.3">
      <c r="A2" t="s">
        <v>33</v>
      </c>
      <c r="B2" t="s">
        <v>30</v>
      </c>
      <c r="C2" t="s">
        <v>31</v>
      </c>
      <c r="D2" t="s">
        <v>32</v>
      </c>
    </row>
    <row r="3" spans="1:7" x14ac:dyDescent="0.3">
      <c r="A3" t="str">
        <f>B3&amp;"-"&amp;C3</f>
        <v>AGRESSIVO-TIJOLO</v>
      </c>
      <c r="B3" t="s">
        <v>20</v>
      </c>
      <c r="C3" t="s">
        <v>24</v>
      </c>
      <c r="D3" s="14">
        <v>0.3</v>
      </c>
    </row>
    <row r="4" spans="1:7" x14ac:dyDescent="0.3">
      <c r="A4" t="str">
        <f t="shared" ref="A4:A20" si="0">B4&amp;"-"&amp;C4</f>
        <v xml:space="preserve">AGRESSIVO-PAPEL </v>
      </c>
      <c r="B4" t="s">
        <v>20</v>
      </c>
      <c r="C4" t="s">
        <v>25</v>
      </c>
      <c r="D4" s="14">
        <v>0.5</v>
      </c>
    </row>
    <row r="5" spans="1:7" x14ac:dyDescent="0.3">
      <c r="A5" t="str">
        <f t="shared" si="0"/>
        <v>AGRESSIVO-HIBRIDOS</v>
      </c>
      <c r="B5" t="s">
        <v>20</v>
      </c>
      <c r="C5" t="s">
        <v>26</v>
      </c>
      <c r="D5" s="14">
        <v>0.1</v>
      </c>
    </row>
    <row r="6" spans="1:7" x14ac:dyDescent="0.3">
      <c r="A6" t="str">
        <f t="shared" si="0"/>
        <v>AGRESSIVO-FOF's</v>
      </c>
      <c r="B6" t="s">
        <v>20</v>
      </c>
      <c r="C6" t="s">
        <v>27</v>
      </c>
      <c r="D6" s="14">
        <v>0.1</v>
      </c>
      <c r="F6" t="s">
        <v>34</v>
      </c>
      <c r="G6" t="e">
        <f>VLOOKUP(Planilha1!C39,$A:$D,4,FALSE)</f>
        <v>#N/A</v>
      </c>
    </row>
    <row r="7" spans="1:7" x14ac:dyDescent="0.3">
      <c r="A7" t="str">
        <f t="shared" si="0"/>
        <v>AGRESSIVO-DESENVOLVIMENTO</v>
      </c>
      <c r="B7" t="s">
        <v>20</v>
      </c>
      <c r="C7" t="s">
        <v>28</v>
      </c>
      <c r="D7" s="14">
        <v>0</v>
      </c>
    </row>
    <row r="8" spans="1:7" ht="15" thickBot="1" x14ac:dyDescent="0.35">
      <c r="A8" s="13" t="str">
        <f t="shared" si="0"/>
        <v>AGRESSIVO-HOTELARIAS</v>
      </c>
      <c r="B8" s="13" t="s">
        <v>20</v>
      </c>
      <c r="C8" s="13" t="s">
        <v>29</v>
      </c>
      <c r="D8" s="15">
        <v>0</v>
      </c>
    </row>
    <row r="9" spans="1:7" x14ac:dyDescent="0.3">
      <c r="A9" t="str">
        <f t="shared" si="0"/>
        <v>MODERADO-TIJOLO</v>
      </c>
      <c r="B9" t="s">
        <v>19</v>
      </c>
      <c r="C9" t="s">
        <v>24</v>
      </c>
      <c r="D9" s="14">
        <v>0.32</v>
      </c>
    </row>
    <row r="10" spans="1:7" x14ac:dyDescent="0.3">
      <c r="A10" t="str">
        <f t="shared" si="0"/>
        <v xml:space="preserve">MODERADO-PAPEL </v>
      </c>
      <c r="B10" t="s">
        <v>19</v>
      </c>
      <c r="C10" t="s">
        <v>25</v>
      </c>
      <c r="D10" s="14">
        <v>0.35</v>
      </c>
    </row>
    <row r="11" spans="1:7" x14ac:dyDescent="0.3">
      <c r="A11" t="str">
        <f t="shared" si="0"/>
        <v>MODERADO-HIBRIDOS</v>
      </c>
      <c r="B11" t="s">
        <v>19</v>
      </c>
      <c r="C11" t="s">
        <v>26</v>
      </c>
      <c r="D11" s="14">
        <v>0.08</v>
      </c>
    </row>
    <row r="12" spans="1:7" x14ac:dyDescent="0.3">
      <c r="A12" t="str">
        <f t="shared" si="0"/>
        <v>MODERADO-FOF's</v>
      </c>
      <c r="B12" t="s">
        <v>19</v>
      </c>
      <c r="C12" t="s">
        <v>27</v>
      </c>
      <c r="D12" s="14">
        <v>0.05</v>
      </c>
    </row>
    <row r="13" spans="1:7" x14ac:dyDescent="0.3">
      <c r="A13" t="str">
        <f t="shared" si="0"/>
        <v>MODERADO-DESENVOLVIMENTO</v>
      </c>
      <c r="B13" t="s">
        <v>19</v>
      </c>
      <c r="C13" t="s">
        <v>28</v>
      </c>
      <c r="D13" s="14">
        <v>0.1</v>
      </c>
    </row>
    <row r="14" spans="1:7" ht="15" thickBot="1" x14ac:dyDescent="0.35">
      <c r="A14" s="13" t="str">
        <f t="shared" si="0"/>
        <v>MODERADO-HOTELARIAS</v>
      </c>
      <c r="B14" s="13" t="s">
        <v>19</v>
      </c>
      <c r="C14" s="13" t="s">
        <v>29</v>
      </c>
      <c r="D14" s="15">
        <v>0.1</v>
      </c>
    </row>
    <row r="15" spans="1:7" x14ac:dyDescent="0.3">
      <c r="A15" t="str">
        <f t="shared" si="0"/>
        <v>CONSERVADOR-TIJOLO</v>
      </c>
      <c r="B15" t="s">
        <v>18</v>
      </c>
      <c r="C15" t="s">
        <v>24</v>
      </c>
      <c r="D15" s="14">
        <v>0.5</v>
      </c>
    </row>
    <row r="16" spans="1:7" x14ac:dyDescent="0.3">
      <c r="A16" t="str">
        <f t="shared" si="0"/>
        <v xml:space="preserve">CONSERVADOR-PAPEL </v>
      </c>
      <c r="B16" t="s">
        <v>18</v>
      </c>
      <c r="C16" t="s">
        <v>25</v>
      </c>
      <c r="D16" s="14">
        <v>0.1</v>
      </c>
    </row>
    <row r="17" spans="1:4" x14ac:dyDescent="0.3">
      <c r="A17" t="str">
        <f t="shared" si="0"/>
        <v>CONSERVADOR-HIBRIDOS</v>
      </c>
      <c r="B17" t="s">
        <v>18</v>
      </c>
      <c r="C17" t="s">
        <v>26</v>
      </c>
      <c r="D17" s="14">
        <v>0.05</v>
      </c>
    </row>
    <row r="18" spans="1:4" x14ac:dyDescent="0.3">
      <c r="A18" t="str">
        <f t="shared" si="0"/>
        <v>CONSERVADOR-FOF's</v>
      </c>
      <c r="B18" t="s">
        <v>18</v>
      </c>
      <c r="C18" t="s">
        <v>27</v>
      </c>
      <c r="D18" s="14">
        <v>0.05</v>
      </c>
    </row>
    <row r="19" spans="1:4" x14ac:dyDescent="0.3">
      <c r="A19" t="str">
        <f t="shared" si="0"/>
        <v>CONSERVADOR-DESENVOLVIMENTO</v>
      </c>
      <c r="B19" t="s">
        <v>18</v>
      </c>
      <c r="C19" t="s">
        <v>28</v>
      </c>
      <c r="D19" s="14">
        <v>0.2</v>
      </c>
    </row>
    <row r="20" spans="1:4" x14ac:dyDescent="0.3">
      <c r="A20" t="str">
        <f t="shared" si="0"/>
        <v>CONSERVADOR-HOTELARIAS</v>
      </c>
      <c r="B20" t="s">
        <v>18</v>
      </c>
      <c r="C20" t="s">
        <v>29</v>
      </c>
      <c r="D20" s="1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Tamires Honorio</dc:creator>
  <cp:lastModifiedBy>Tamires Honorio</cp:lastModifiedBy>
  <dcterms:created xsi:type="dcterms:W3CDTF">2026-09-23T13:39:56Z</dcterms:created>
  <dcterms:modified xsi:type="dcterms:W3CDTF">2026-10-01T14:46:12Z</dcterms:modified>
</cp:coreProperties>
</file>